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c3f323a4a042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要" sheetId="1" r:id="R4803d78e38984325"/>
    <x:sheet xmlns:r="http://schemas.openxmlformats.org/officeDocument/2006/relationships" name="検証結果一覧" sheetId="2" r:id="Rcb5230fe5e2d43c3"/>
    <x:sheet xmlns:r="http://schemas.openxmlformats.org/officeDocument/2006/relationships" name="最新診断結果" sheetId="3" r:id="Rd1967764263b4003"/>
  </x:sheets>
</x:workbook>
</file>

<file path=xl/sharedStrings.xml><?xml version="1.0" encoding="utf-8"?>
<x:sst xmlns:x="http://schemas.openxmlformats.org/spreadsheetml/2006/main">
  <x:si>
    <x:t xml:space="preserve">EIMS 機能別・検証用不具合パターン結果</x:t>
  </x:si>
  <x:si>
    <x:t xml:space="preserve">機能別集計</x:t>
  </x:si>
  <x:si>
    <x:t xml:space="preserve">機能</x:t>
  </x:si>
  <x:si>
    <x:t xml:space="preserve">パターン数</x:t>
  </x:si>
  <x:si>
    <x:t xml:space="preserve">テスト件数</x:t>
  </x:si>
  <x:si>
    <x:t xml:space="preserve">合格</x:t>
  </x:si>
  <x:si>
    <x:t xml:space="preserve">不合格</x:t>
  </x:si>
  <x:si>
    <x:t xml:space="preserve">対象外</x:t>
  </x:si>
  <x:si>
    <x:t xml:space="preserve">平均不合格率</x:t>
  </x:si>
  <x:si>
    <x:t xml:space="preserve">機能別検証パターン 実測結果一覧</x:t>
  </x:si>
  <x:si>
    <x:t xml:space="preserve">パターン</x:t>
  </x:si>
  <x:si>
    <x:t xml:space="preserve">ブランチ</x:t>
  </x:si>
  <x:si>
    <x:t xml:space="preserve">全件</x:t>
  </x:si>
  <x:si>
    <x:t xml:space="preserve">不合格率</x:t>
  </x:si>
  <x:si>
    <x:t xml:space="preserve">ビルド</x:t>
  </x:si>
  <x:si>
    <x:t xml:space="preserve">不合格テストID</x:t>
  </x:si>
  <x:si>
    <x:t xml:space="preserve">意図的な実装漏れ</x:t>
  </x:si>
  <x:si>
    <x:t xml:space="preserve">診断結果</x:t>
  </x:si>
  <x:si>
    <x:t xml:space="preserve">検索</x:t>
  </x:si>
  <x:si>
    <x:t xml:space="preserve">①</x:t>
  </x:si>
  <x:si>
    <x:t xml:space="preserve">codex/search-validation-1</x:t>
  </x:si>
  <x:si>
    <x:t xml:space="preserve">成功</x:t>
  </x:si>
  <x:si>
    <x:r>
      <x:rPr>
        <x:sz val="1100"/>
        <x:color theme="1"/>
      </x:rPr>
      <x:t xml:space="preserve">TC002, TC007</x:t>
    </x:r>
    <x:r>
      <x:rPr>
        <x:sz val="1100"/>
        <x:color theme="1"/>
        <x:rFont val="ＭＳ ゴシック"/>
        <x:family val="3"/>
      </x:rPr>
      <x:t xml:space="preserve">～</x:t>
    </x:r>
    <x:r>
      <x:rPr>
        <x:sz val="1100"/>
        <x:color theme="1"/>
        <x:rFont val="Arial"/>
        <x:family val="2"/>
      </x:rPr>
      <x:t xml:space="preserve">TC010, TC013</x:t>
    </x:r>
    <x:r>
      <x:rPr>
        <x:sz val="1100"/>
        <x:color theme="1"/>
        <x:rFont val="ＭＳ ゴシック"/>
        <x:family val="3"/>
      </x:rPr>
      <x:t xml:space="preserve">～</x:t>
    </x:r>
    <x:r>
      <x:rPr>
        <x:sz val="1100"/>
        <x:color theme="1"/>
        <x:rFont val="Arial"/>
        <x:family val="2"/>
      </x:rPr>
      <x:t xml:space="preserve">TC014, TC016</x:t>
    </x:r>
    <x:r>
      <x:rPr>
        <x:sz val="1100"/>
        <x:color theme="1"/>
        <x:rFont val="ＭＳ ゴシック"/>
        <x:family val="3"/>
      </x:rPr>
      <x:t xml:space="preserve">～</x:t>
    </x:r>
    <x:r>
      <x:rPr>
        <x:sz val="1100"/>
        <x:color theme="1"/>
        <x:rFont val="Arial"/>
        <x:family val="2"/>
      </x:rPr>
      <x:t xml:space="preserve">TC020, TC028</x:t>
    </x:r>
    <x:r>
      <x:rPr>
        <x:sz val="1100"/>
        <x:color theme="1"/>
        <x:rFont val="ＭＳ ゴシック"/>
        <x:family val="3"/>
      </x:rPr>
      <x:t xml:space="preserve">～</x:t>
    </x:r>
    <x:r>
      <x:rPr>
        <x:sz val="1100"/>
        <x:color theme="1"/>
        <x:rFont val="Arial"/>
        <x:family val="2"/>
      </x:rPr>
      <x:t xml:space="preserve">TC029</x:t>
    </x:r>
  </x:si>
  <x:si>
    <x:t xml:space="preserve">氏名・部署検索後に結果画面へ遷移しない／部署候補を表示しない／メニューへ戻るリンクを置かない</x:t>
  </x:si>
  <x:si>
    <x:t xml:space="preserve">該当機能の約半数を不合格として検出</x:t>
  </x:si>
  <x:si>
    <x:t xml:space="preserve">②</x:t>
  </x:si>
  <x:si>
    <x:t xml:space="preserve">codex/search-validation-2</x:t>
  </x:si>
  <x:si>
    <x:t xml:space="preserve">TC003～TC004, TC007～TC010, TC013～TC014, TC016～TC018, TC020～TC021, TC023, TC028</x:t>
  </x:si>
  <x:si>
    <x:t xml:space="preserve">社員番号検索の遷移先を誤る／該当なしを詳細画面へ送る／氏名・部署検索後に結果画面へ遷移しない</x:t>
  </x:si>
  <x:si>
    <x:t xml:space="preserve">①とは異なる15件を不合格として検出</x:t>
  </x:si>
  <x:si>
    <x:t xml:space="preserve">登録</x:t>
  </x:si>
  <x:si>
    <x:t xml:space="preserve">codex/registration-validation-1</x:t>
  </x:si>
  <x:si>
    <x:t xml:space="preserve">TC014～TC023, TC025～TC030</x:t>
  </x:si>
  <x:si>
    <x:t xml:space="preserve">登録確認処理で入力バリデーションを実行し忘れる</x:t>
  </x:si>
  <x:si>
    <x:t xml:space="preserve">必須・文字数・選択項目など16件を不合格として検出</x:t>
  </x:si>
  <x:si>
    <x:t xml:space="preserve">codex/registration-validation-2</x:t>
  </x:si>
  <x:si>
    <x:t xml:space="preserve">TC007, TC014～TC023, TC025～TC030</x:t>
  </x:si>
  <x:si>
    <x:t xml:space="preserve">入力エラー文言を画面に表示しない／確認画面にパスワードを平文表示する</x:t>
  </x:si>
  <x:si>
    <x:t xml:space="preserve">表示漏れと情報保護漏れの17件を不合格として検出</x:t>
  </x:si>
  <x:si>
    <x:t xml:space="preserve">更新</x:t>
  </x:si>
  <x:si>
    <x:t xml:space="preserve">codex/update-validation-1</x:t>
  </x:si>
  <x:si>
    <x:t xml:space="preserve">TC006, TC013～TC022, TC025～TC030</x:t>
  </x:si>
  <x:si>
    <x:t xml:space="preserve">変更確認処理で入力バリデーションを実行し忘れる／確認画面にパスワードを平文表示する</x:t>
  </x:si>
  <x:si>
    <x:t xml:space="preserve">入力検証と情報保護の17件を不合格として検出</x:t>
  </x:si>
  <x:si>
    <x:t xml:space="preserve">codex/update-validation-2</x:t>
  </x:si>
  <x:si>
    <x:t xml:space="preserve">TC006, TC010, TC013～TC022, TC025～TC030</x:t>
  </x:si>
  <x:si>
    <x:t xml:space="preserve">入力エラー文言を表示しない／修正時に入力値を元へ戻す／確認画面にパスワードを平文表示する</x:t>
  </x:si>
  <x:si>
    <x:t xml:space="preserve">異なる実装漏れ18件を不合格として検出</x:t>
  </x:si>
  <x:si>
    <x:t xml:space="preserve">削除</x:t>
  </x:si>
  <x:si>
    <x:t xml:space="preserve">codex/delete-validation-1</x:t>
  </x:si>
  <x:si>
    <x:t xml:space="preserve">TC002～TC004, TC006～TC008, TC010</x:t>
  </x:si>
  <x:si>
    <x:t xml:space="preserve">確認項目と警告文の不足／中止先の誤り／DB削除忘れ／完了画面の戻りリンク漏れ</x:t>
  </x:si>
  <x:si>
    <x:t xml:space="preserve">7件を不合格として検出</x:t>
  </x:si>
  <x:si>
    <x:t xml:space="preserve">codex/delete-validation-2</x:t>
  </x:si>
  <x:si>
    <x:t xml:space="preserve">TC002, TC004～TC006, TC010, TC012～TC013, TC015</x:t>
  </x:si>
  <x:si>
    <x:t xml:space="preserve">確認項目不足／中止先の誤り／DB削除忘れ／不正POST処理漏れ／完了文言の誤り</x:t>
  </x:si>
  <x:si>
    <x:t xml:space="preserve">①とは異なる8件を不合格として検出</x:t>
  </x:si>
</x:sst>
</file>

<file path=xl/styles.xml><?xml version="1.0" encoding="utf-8"?>
<x:styleSheet xmlns:x="http://schemas.openxmlformats.org/spreadsheetml/2006/main">
  <x:numFmts count="2">
    <x:numFmt numFmtId="176" formatCode="0&quot;件&quot;"/>
    <x:numFmt numFmtId="177" formatCode="0.0%"/>
  </x:numFmts>
  <x:fonts count="17">
    <x:font>
      <x:sz val="11"/>
      <x:name val="Carlito"/>
    </x:font>
    <x:font>
      <x:i/>
      <x:sz val="11"/>
      <x:color rgb="FF17365D"/>
      <x:name val="Carlito"/>
    </x:font>
    <x:font>
      <x:b/>
      <x:sz val="11"/>
      <x:color rgb="FF17365D"/>
      <x:name val="Carlito"/>
    </x:font>
    <x:font>
      <x:b/>
      <x:sz val="13"/>
      <x:color rgb="FFFFFFFF"/>
      <x:name val="Carlito"/>
    </x:font>
    <x:font>
      <x:b/>
      <x:sz val="11"/>
      <x:color rgb="FFFFFFFF"/>
      <x:name val="Carlito"/>
    </x:font>
    <x:font>
      <x:sz val="11"/>
      <x:color rgb="FF666666"/>
      <x:name val="Carlito"/>
    </x:font>
    <x:font>
      <x:b/>
      <x:sz val="18"/>
      <x:color rgb="FFFFFFFF"/>
      <x:name val="Yu Gothic"/>
    </x:font>
    <x:font>
      <x:sz val="11"/>
      <x:color rgb="FF17365D"/>
      <x:name val="Carlito"/>
    </x:font>
    <x:font>
      <x:b/>
      <x:sz val="10"/>
      <x:color rgb="FFFFFFFF"/>
      <x:name val="Yu Gothic"/>
    </x:font>
    <x:font>
      <x:sz val="11"/>
      <x:name val="Carlito"/>
    </x:font>
    <x:font>
      <x:sz val="6"/>
      <x:name val="ＭＳ Ｐゴシック"/>
    </x:font>
    <x:font>
      <x:sz val="11"/>
      <x:name val="ＭＳ ゴシック"/>
    </x:font>
    <x:font>
      <x:sz val="11"/>
      <x:name val="Arial"/>
    </x:font>
    <x:font>
      <x:b/>
      <x:sz val="20"/>
      <x:color rgb="FFFFFFFF"/>
      <x:name val="Carlito"/>
    </x:font>
    <x:font>
      <x:i/>
      <x:sz val="11"/>
      <x:color rgb="FF315B7D"/>
      <x:name val="Carlito"/>
    </x:font>
    <x:font>
      <x:sz val="10"/>
      <x:color rgb="FF4B5563"/>
      <x:name val="Carlito"/>
    </x:font>
    <x:font>
      <x:b/>
      <x:sz val="11"/>
      <x:color rgb="FF245C2A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F2F2F2"/>
      </x:patternFill>
    </x:fill>
    <x:fill>
      <x:patternFill patternType="solid">
        <x:fgColor rgb="FF173B64"/>
      </x:patternFill>
    </x:fill>
    <x:fill>
      <x:patternFill patternType="solid">
        <x:fgColor rgb="FFDCECF7"/>
      </x:patternFill>
    </x:fill>
    <x:fill>
      <x:patternFill patternType="solid">
        <x:fgColor rgb="FFF3F4F6"/>
      </x:patternFill>
    </x:fill>
    <x:fill>
      <x:patternFill patternType="solid">
        <x:fgColor rgb="FF0F355B"/>
      </x:patternFill>
    </x:fill>
    <x:fill>
      <x:patternFill patternType="solid">
        <x:fgColor rgb="FFC9EAF7"/>
      </x:patternFill>
    </x:fill>
    <x:fill>
      <x:patternFill patternType="solid">
        <x:fgColor rgb="FFDDEED5"/>
      </x:patternFill>
    </x:fill>
  </x:fills>
  <x:borders count="20">
    <x:border/>
    <x:border>
      <x:left style="thin">
        <x:color rgb="FFA9D18E"/>
      </x:left>
      <x:top style="thin">
        <x:color rgb="FFA9D18E"/>
      </x:top>
    </x:border>
    <x:border>
      <x:right style="thin">
        <x:color rgb="FFA9D18E"/>
      </x:right>
      <x:top style="thin">
        <x:color rgb="FFA9D18E"/>
      </x:top>
    </x:border>
    <x:border>
      <x:left style="thin">
        <x:color rgb="FFA9D18E"/>
      </x:left>
      <x:bottom style="thin">
        <x:color rgb="FFA9D18E"/>
      </x:bottom>
    </x:border>
    <x:border>
      <x:right style="thin">
        <x:color rgb="FFA9D18E"/>
      </x:right>
      <x:bottom style="thin">
        <x:color rgb="FFA9D18E"/>
      </x:bottom>
    </x:border>
    <x:border>
      <x:left style="thin">
        <x:color rgb="FFD6B656"/>
      </x:left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B8D5E7"/>
      </x:left>
      <x:right style="thin">
        <x:color rgb="FFB8D5E7"/>
      </x:right>
      <x:top style="thin">
        <x:color rgb="FFB8D5E7"/>
      </x:top>
      <x:bottom style="thin">
        <x:color rgb="FFB8D5E7"/>
      </x:bottom>
    </x:border>
    <x:border>
      <x:left style="medium">
        <x:color rgb="FF7BAA70"/>
      </x:left>
      <x:right style="medium">
        <x:color rgb="FF7BAA70"/>
      </x:right>
      <x:top style="medium">
        <x:color rgb="FF7BAA70"/>
      </x:top>
      <x:bottom style="medium">
        <x:color rgb="FF7BAA70"/>
      </x:bottom>
    </x:border>
  </x:borders>
  <x:cellStyleXfs count="2">
    <x:xf numFmtId="0" fontId="0" fillId="0" borderId="0"/>
    <x:xf numFmtId="0" fontId="9" fillId="0" borderId="0"/>
  </x:cellStyleXfs>
  <x:cellXfs count="70">
    <x:xf numFmtId="0" fontId="0" fillId="0" borderId="0" xfId="0"/>
    <x:xf numFmtId="0" fontId="0" fillId="4" borderId="3" xfId="1" applyFont="1" applyFill="1" applyBorder="1"/>
    <x:xf numFmtId="0" fontId="0" fillId="4" borderId="4" xfId="1" applyFont="1" applyFill="1" applyBorder="1"/>
    <x:xf numFmtId="0" fontId="2" fillId="4" borderId="1" xfId="1" applyFont="1" applyFill="1" applyBorder="1"/>
    <x:xf numFmtId="0" fontId="0" fillId="5" borderId="7" xfId="1" applyFont="1" applyFill="1" applyBorder="1"/>
    <x:xf numFmtId="0" fontId="0" fillId="5" borderId="8" xfId="1" applyFont="1" applyFill="1" applyBorder="1"/>
    <x:xf numFmtId="0" fontId="2" fillId="5" borderId="5" xfId="1" applyFont="1" applyFill="1" applyBorder="1"/>
    <x:xf numFmtId="176" fontId="2" fillId="5" borderId="6" xfId="1" applyNumberFormat="1" applyFont="1" applyFill="1" applyBorder="1"/>
    <x:xf numFmtId="176" fontId="2" fillId="4" borderId="2" xfId="1" applyNumberFormat="1" applyFont="1" applyFill="1" applyBorder="1"/>
    <x:xf numFmtId="0" fontId="4" fillId="2" borderId="0" xfId="1" applyFont="1" applyFill="1" applyAlignment="1">
      <x:alignment horizontal="center"/>
    </x:xf>
    <x:xf numFmtId="0" fontId="0" fillId="0" borderId="9" xfId="1" applyFont="1" applyBorder="1"/>
    <x:xf numFmtId="0" fontId="0" fillId="0" borderId="12" xfId="1" applyFont="1" applyBorder="1"/>
    <x:xf numFmtId="0" fontId="0" fillId="0" borderId="15" xfId="1" applyFont="1" applyBorder="1"/>
    <x:xf numFmtId="1" fontId="0" fillId="0" borderId="10" xfId="1" applyNumberFormat="1" applyFont="1" applyBorder="1" applyAlignment="1">
      <x:alignment horizontal="center"/>
    </x:xf>
    <x:xf numFmtId="1" fontId="0" fillId="0" borderId="13" xfId="1" applyNumberFormat="1" applyFont="1" applyBorder="1" applyAlignment="1">
      <x:alignment horizontal="center"/>
    </x:xf>
    <x:xf numFmtId="1" fontId="0" fillId="0" borderId="16" xfId="1" applyNumberFormat="1" applyFont="1" applyBorder="1" applyAlignment="1">
      <x:alignment horizontal="center"/>
    </x:xf>
    <x:xf numFmtId="177" fontId="0" fillId="0" borderId="11" xfId="1" applyNumberFormat="1" applyFont="1" applyBorder="1"/>
    <x:xf numFmtId="177" fontId="0" fillId="0" borderId="14" xfId="1" applyNumberFormat="1" applyFont="1" applyBorder="1"/>
    <x:xf numFmtId="177" fontId="0" fillId="0" borderId="17" xfId="1" applyNumberFormat="1" applyFont="1" applyBorder="1"/>
    <x:xf numFmtId="0" fontId="4" fillId="2" borderId="0" xfId="1" applyFont="1" applyFill="1" applyAlignment="1">
      <x:alignment horizontal="center" vertical="center" wrapText="1"/>
    </x:xf>
    <x:xf numFmtId="0" fontId="0" fillId="0" borderId="0" xfId="1" applyFont="1" applyAlignment="1">
      <x:alignment vertical="center"/>
    </x:xf>
    <x:xf numFmtId="0" fontId="0" fillId="0" borderId="0" xfId="1" applyFont="1" applyAlignment="1">
      <x:alignment horizontal="center" vertical="center"/>
    </x:xf>
    <x:xf numFmtId="1" fontId="0" fillId="0" borderId="0" xfId="1" applyNumberFormat="1" applyFont="1" applyAlignment="1">
      <x:alignment horizontal="center" vertical="center"/>
    </x:xf>
    <x:xf numFmtId="177" fontId="0" fillId="0" borderId="0" xfId="1" applyNumberFormat="1" applyFont="1" applyAlignment="1">
      <x:alignment horizontal="center" vertical="center"/>
    </x:xf>
    <x:xf numFmtId="0" fontId="0" fillId="0" borderId="0" xfId="1" applyFont="1" applyAlignment="1">
      <x:alignment wrapText="1"/>
    </x:xf>
    <x:xf numFmtId="0" fontId="6" fillId="2" borderId="0" xfId="1" applyFont="1" applyFill="1" applyAlignment="1">
      <x:alignment horizontal="center" vertical="center"/>
    </x:xf>
    <x:xf numFmtId="0" fontId="1" fillId="3" borderId="0" xfId="1" applyFont="1" applyFill="1" applyAlignment="1">
      <x:alignment horizontal="center" vertical="center"/>
    </x:xf>
    <x:xf numFmtId="0" fontId="3" fillId="6" borderId="0" xfId="1" applyFont="1" applyFill="1"/>
    <x:xf numFmtId="0" fontId="5" fillId="7" borderId="0" xfId="1" applyFont="1" applyFill="1" applyAlignment="1">
      <x:alignment wrapText="1"/>
    </x:xf>
    <x:xf numFmtId="0" fontId="8" fillId="2" borderId="0" xfId="1" applyFont="1" applyFill="1" applyAlignment="1">
      <x:alignment horizontal="center" vertical="center"/>
    </x:xf>
    <x:xf numFmtId="0" fontId="7" fillId="3" borderId="0" xfId="1" applyFont="1" applyFill="1" applyAlignment="1">
      <x:alignment horizontal="center"/>
    </x:xf>
    <x:xf numFmtId="0" fontId="2" fillId="0" borderId="1" xfId="1" applyFont="1" applyFill="1" applyBorder="1"/>
    <x:xf numFmtId="0" fontId="0" fillId="0" borderId="2" xfId="1" applyFont="1" applyFill="1" applyBorder="1"/>
    <x:xf numFmtId="0" fontId="2" fillId="0" borderId="3" xfId="1" applyFont="1" applyFill="1" applyBorder="1"/>
    <x:xf numFmtId="0" fontId="0" fillId="0" borderId="4" xfId="1" applyFont="1" applyFill="1" applyBorder="1"/>
    <x:xf numFmtId="177" fontId="0" fillId="0" borderId="11" xfId="0" applyNumberFormat="1" applyFont="1" applyFill="1" applyBorder="1"/>
    <x:xf numFmtId="177" fontId="0" fillId="0" borderId="14" xfId="0" applyNumberFormat="1" applyFont="1" applyFill="1" applyBorder="1"/>
    <x:xf numFmtId="177" fontId="0" fillId="0" borderId="17" xfId="0" applyNumberFormat="1" applyFont="1" applyFill="1" applyBorder="1"/>
    <x:xf numFmtId="0" fontId="0" fillId="8" borderId="0" xfId="0" applyNumberFormat="1" applyFont="1" applyFill="1" applyBorder="1"/>
    <x:xf numFmtId="0" fontId="13" fillId="8" borderId="0" xfId="0" applyNumberFormat="1" applyFont="1" applyFill="1" applyBorder="1"/>
    <x:xf numFmtId="0" fontId="13" fillId="8" borderId="0" xfId="0" applyNumberFormat="1" applyFont="1" applyFill="1" applyBorder="1" applyAlignment="1">
      <x:alignment horizontal="center"/>
    </x:xf>
    <x:xf numFmtId="0" fontId="13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4" fillId="9" borderId="0" xfId="0" applyNumberFormat="1" applyFont="1" applyFill="1" applyBorder="1"/>
    <x:xf numFmtId="0" fontId="14" fillId="9" borderId="0" xfId="0" applyNumberFormat="1" applyFont="1" applyFill="1" applyBorder="1" applyAlignment="1">
      <x:alignment horizontal="center"/>
    </x:xf>
    <x:xf numFmtId="0" fontId="14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15" fillId="10" borderId="0" xfId="0" applyNumberFormat="1" applyFont="1" applyFill="1" applyBorder="1"/>
    <x:xf numFmtId="0" fontId="15" fillId="10" borderId="0" xfId="0" applyNumberFormat="1" applyFont="1" applyFill="1" applyBorder="1" applyAlignment="1">
      <x:alignment wrapText="1"/>
    </x:xf>
    <x:xf numFmtId="0" fontId="15" fillId="1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18" xfId="0" applyNumberFormat="1" applyFont="1" applyFill="1" applyBorder="1"/>
    <x:xf numFmtId="0" fontId="4" fillId="11" borderId="18" xfId="0" applyNumberFormat="1" applyFont="1" applyFill="1" applyBorder="1" applyAlignment="1">
      <x:alignment horizontal="center"/>
    </x:xf>
    <x:xf numFmtId="0" fontId="4" fillId="11" borderId="18" xfId="0" applyNumberFormat="1" applyFont="1" applyFill="1" applyBorder="1" applyAlignment="1">
      <x:alignment horizontal="center" vertical="center"/>
    </x:xf>
    <x:xf numFmtId="0" fontId="0" fillId="0" borderId="18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12" borderId="18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16" fillId="13" borderId="0" xfId="0" applyNumberFormat="1" applyFont="1" applyFill="1" applyBorder="1"/>
    <x:xf numFmtId="0" fontId="16" fillId="13" borderId="19" xfId="0" applyNumberFormat="1" applyFont="1" applyFill="1" applyBorder="1"/>
    <x:xf numFmtId="0" fontId="16" fillId="13" borderId="19" xfId="0" applyNumberFormat="1" applyFont="1" applyFill="1" applyBorder="1" applyAlignment="1">
      <x:alignment wrapText="1"/>
    </x:xf>
    <x:xf numFmtId="0" fontId="16" fillId="13" borderId="19" xfId="0" applyNumberFormat="1" applyFont="1" applyFill="1" applyBorder="1" applyAlignment="1">
      <x:alignment vertical="center" wrapText="1"/>
    </x:xf>
    <x:xf numFmtId="0" fontId="0" fillId="12" borderId="18" xfId="0" applyNumberFormat="1" applyFont="1" applyFill="1" applyBorder="1" applyAlignment="1">
      <x:alignment horizontal="center" vertical="center" wrapText="1"/>
    </x:xf>
    <x:xf numFmtId="0" fontId="0" fillId="0" borderId="18" xfId="0" applyNumberFormat="1" applyFont="1" applyFill="1" applyBorder="1" applyAlignment="1">
      <x:alignment horizontal="center" vertical="center" wrapText="1"/>
    </x:xf>
    <x:xf numFmtId="0" fontId="16" fillId="13" borderId="19" xfId="0" applyNumberFormat="1" applyFont="1" applyFill="1" applyBorder="1" applyAlignment="1">
      <x:alignment horizontal="center" vertical="center" wrapText="1"/>
    </x:xf>
    <x:xf numFmtId="177" fontId="0" fillId="12" borderId="18" xfId="0" applyNumberFormat="1" applyFont="1" applyFill="1" applyBorder="1" applyAlignment="1">
      <x:alignment horizontal="center" vertical="center" wrapText="1"/>
    </x:xf>
    <x:xf numFmtId="177" fontId="0" fillId="0" borderId="18" xfId="0" applyNumberFormat="1" applyFont="1" applyFill="1" applyBorder="1" applyAlignment="1">
      <x:alignment horizontal="center" vertical="center" wrapText="1"/>
    </x:xf>
    <x:xf numFmtId="177" fontId="16" fillId="13" borderId="19" xfId="0" applyNumberFormat="1" applyFont="1" applyFill="1" applyBorder="1" applyAlignment="1">
      <x:alignment horizontal="center" vertical="center" wrapText="1"/>
    </x:xf>
  </x:cellXfs>
  <x:cellStyles count="2">
    <x:cellStyle name="Normal" xfId="1"/>
    <x:cellStyle name="標準" xfId="0"/>
  </x:cellStyles>
  <x:dxfs count="3"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c966b52a4b4ea6" /><Relationship Type="http://schemas.openxmlformats.org/officeDocument/2006/relationships/theme" Target="/xl/theme/theme1.xml" Id="R3a56fc57e45b4cfe" /><Relationship Type="http://schemas.openxmlformats.org/officeDocument/2006/relationships/sharedStrings" Target="/xl/sharedStrings.xml" Id="R76741929a82d4eca" /><Relationship Type="http://schemas.openxmlformats.org/officeDocument/2006/relationships/worksheet" Target="/xl/worksheets/sheet1.xml" Id="R4803d78e38984325" /><Relationship Type="http://schemas.openxmlformats.org/officeDocument/2006/relationships/worksheet" Target="/xl/worksheets/sheet2.xml" Id="Rcb5230fe5e2d43c3" /><Relationship Type="http://schemas.openxmlformats.org/officeDocument/2006/relationships/worksheet" Target="/xl/worksheets/sheet3.xml" Id="Rd1967764263b4003" /></Relationships>
</file>

<file path=xl/tables/table1.xml><?xml version="1.0" encoding="utf-8"?>
<x:table xmlns:x="http://schemas.openxmlformats.org/spreadsheetml/2006/main" id="1" name="ValidationResultsTable" displayName="ValidationResultsTable" ref="A5:L13" totalsRowShown="0">
  <x:autoFilter ref="A5:L13"/>
  <x:tableColumns count="12">
    <x:tableColumn id="1" name="機能"/>
    <x:tableColumn id="2" name="パターン"/>
    <x:tableColumn id="3" name="ブランチ"/>
    <x:tableColumn id="5" name="全件"/>
    <x:tableColumn id="6" name="合格"/>
    <x:tableColumn id="7" name="不合格"/>
    <x:tableColumn id="8" name="対象外"/>
    <x:tableColumn id="9" name="不合格率"/>
    <x:tableColumn id="10" name="ビルド"/>
    <x:tableColumn id="11" name="不合格テストID"/>
    <x:tableColumn id="12" name="意図的な実装漏れ"/>
    <x:tableColumn id="13" name="診断結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b6e164fd7bd4b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7" customWidth="1"/>
    <x:col min="2" max="2" width="13" customWidth="1"/>
    <x:col min="3" max="3" width="14" customWidth="1"/>
    <x:col min="4" max="4" width="20.296875" customWidth="1"/>
    <x:col min="5" max="6" width="12" customWidth="1"/>
    <x:col min="7" max="7" width="17" customWidth="1"/>
    <x:col min="8" max="8" width="12" customWidth="1"/>
  </x:cols>
  <x:sheetData>
    <x:row r="1" ht="34.04999923706055" customHeight="1">
      <x:c r="A1" s="25" t="s">
        <x:v>0</x:v>
      </x:c>
      <x:c r="B1" s="25"/>
      <x:c r="C1" s="25"/>
      <x:c r="D1" s="25"/>
      <x:c r="E1" s="25"/>
      <x:c r="F1" s="25"/>
      <x:c r="G1" s="25"/>
      <x:c r="H1" s="25"/>
    </x:row>
    <x:row r="2" ht="25.950000762939453" customHeight="1">
      <x:c r="A2" s="26" t="str">
        <x:v>検証用8ブランチの実測結果と、main正常版・追加機能の最新診断結果をまとめています。</x:v>
      </x:c>
      <x:c r="B2" s="26"/>
      <x:c r="C2" s="26"/>
      <x:c r="D2" s="26"/>
      <x:c r="E2" s="26"/>
      <x:c r="F2" s="26"/>
      <x:c r="G2" s="26"/>
      <x:c r="H2" s="26"/>
    </x:row>
    <x:row r="4">
      <x:c r="A4" s="31"/>
      <x:c r="B4" s="32"/>
      <x:c r="D4" s="6" t="str">
        <x:v>検証パターン数</x:v>
      </x:c>
      <x:c r="E4" s="7" t="n">
        <x:v>8</x:v>
      </x:c>
      <x:c r="G4" s="3" t="str">
        <x:v>ビルド成功</x:v>
      </x:c>
      <x:c r="H4" s="8" t="str">
        <x:v>8 / 8</x:v>
      </x:c>
    </x:row>
    <x:row r="5">
      <x:c r="A5" s="33"/>
      <x:c r="B5" s="34"/>
      <x:c r="D5" s="4"/>
      <x:c r="E5" s="5"/>
      <x:c r="G5" s="1"/>
      <x:c r="H5" s="2"/>
    </x:row>
    <x:row r="7" ht="16.799999237060547">
      <x:c r="A7" s="27" t="s">
        <x:v>1</x:v>
      </x:c>
      <x:c r="B7" s="27"/>
      <x:c r="C7" s="27"/>
      <x:c r="D7" s="27"/>
      <x:c r="E7" s="27"/>
      <x:c r="F7" s="27"/>
      <x:c r="G7" s="27"/>
    </x:row>
    <x:row r="8">
      <x:c r="A8" s="9" t="s">
        <x:v>2</x:v>
      </x:c>
      <x:c r="B8" s="9" t="s">
        <x:v>3</x:v>
      </x:c>
      <x:c r="C8" s="9" t="s">
        <x:v>4</x:v>
      </x:c>
      <x:c r="D8" s="9" t="s">
        <x:v>5</x:v>
      </x:c>
      <x:c r="E8" s="9" t="s">
        <x:v>6</x:v>
      </x:c>
      <x:c r="F8" s="9" t="s">
        <x:v>7</x:v>
      </x:c>
      <x:c r="G8" s="9" t="s">
        <x:v>8</x:v>
      </x:c>
    </x:row>
    <x:row r="9">
      <x:c r="A9" s="10" t="str">
        <x:v>検索</x:v>
      </x:c>
      <x:c r="B9" s="13" t="n">
        <x:v>2</x:v>
      </x:c>
      <x:c r="C9" s="13" t="n">
        <x:v>58</x:v>
      </x:c>
      <x:c r="D9" s="13" t="n">
        <x:v>27</x:v>
      </x:c>
      <x:c r="E9" s="13" t="n">
        <x:v>29</x:v>
      </x:c>
      <x:c r="F9" s="13" t="n">
        <x:v>2</x:v>
      </x:c>
      <x:c r="G9" s="35" t="n">
        <x:v>0.5</x:v>
      </x:c>
    </x:row>
    <x:row r="10">
      <x:c r="A10" s="11" t="str">
        <x:v>登録</x:v>
      </x:c>
      <x:c r="B10" s="14" t="n">
        <x:v>2</x:v>
      </x:c>
      <x:c r="C10" s="14" t="n">
        <x:v>68</x:v>
      </x:c>
      <x:c r="D10" s="14" t="n">
        <x:v>29</x:v>
      </x:c>
      <x:c r="E10" s="14" t="n">
        <x:v>33</x:v>
      </x:c>
      <x:c r="F10" s="14" t="n">
        <x:v>6</x:v>
      </x:c>
      <x:c r="G10" s="36" t="n">
        <x:v>0.4852941176470588</x:v>
      </x:c>
    </x:row>
    <x:row r="11">
      <x:c r="A11" s="11" t="str">
        <x:v>更新</x:v>
      </x:c>
      <x:c r="B11" s="14" t="n">
        <x:v>2</x:v>
      </x:c>
      <x:c r="C11" s="14" t="n">
        <x:v>70</x:v>
      </x:c>
      <x:c r="D11" s="14" t="n">
        <x:v>25</x:v>
      </x:c>
      <x:c r="E11" s="14" t="n">
        <x:v>35</x:v>
      </x:c>
      <x:c r="F11" s="14" t="n">
        <x:v>10</x:v>
      </x:c>
      <x:c r="G11" s="36" t="n">
        <x:v>0.5</x:v>
      </x:c>
    </x:row>
    <x:row r="12">
      <x:c r="A12" s="12" t="str">
        <x:v>削除</x:v>
      </x:c>
      <x:c r="B12" s="15" t="n">
        <x:v>2</x:v>
      </x:c>
      <x:c r="C12" s="15" t="n">
        <x:v>30</x:v>
      </x:c>
      <x:c r="D12" s="15" t="n">
        <x:v>13</x:v>
      </x:c>
      <x:c r="E12" s="15" t="n">
        <x:v>15</x:v>
      </x:c>
      <x:c r="F12" s="15" t="n">
        <x:v>2</x:v>
      </x:c>
      <x:c r="G12" s="37" t="n">
        <x:v>0.5</x:v>
      </x:c>
    </x:row>
    <x:row r="14" ht="36" customHeight="1">
      <x:c r="A14" s="28" t="str">
        <x:v>運用メモ：検証結果一覧は検証用ブランチ作成時の実測値です。現在の診断件数（検索42件・追加機能47件など）は「最新診断結果」シートで確認してください。</x:v>
      </x:c>
      <x:c r="B14" s="28"/>
      <x:c r="C14" s="28"/>
      <x:c r="D14" s="28"/>
      <x:c r="E14" s="28"/>
      <x:c r="F14" s="28"/>
      <x:c r="G14" s="28"/>
      <x:c r="H14" s="28"/>
    </x:row>
  </x:sheetData>
  <x:mergeCells>
    <x:mergeCell ref="A1:H1"/>
    <x:mergeCell ref="A2:H2"/>
    <x:mergeCell ref="A7:G7"/>
    <x:mergeCell ref="A14:H14"/>
  </x:mergeCells>
  <x:conditionalFormatting sqref="G9:G12">
    <x:cfRule type="cellIs" dxfId="2" priority="1" operator="greaterThanOrEqual">
      <x:formula>0.5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2" width="9" customWidth="1"/>
    <x:col min="3" max="3" width="28" customWidth="1"/>
    <x:col min="4" max="9" width="10" customWidth="1"/>
    <x:col min="10" max="10" width="37" customWidth="1"/>
    <x:col min="11" max="11" width="54" customWidth="1"/>
    <x:col min="12" max="12" width="40" customWidth="1"/>
  </x:cols>
  <x:sheetData>
    <x:row r="1" ht="34.04999923706055" customHeight="1">
      <x:c r="A1" s="29" t="s">
        <x:v>9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</x:row>
    <x:row r="2">
      <x:c r="A2" s="30" t="str">
        <x:v>実行日：2026-07-16　検証用ブランチ作成時点の診断項目で、約半数の不具合を検出できることを確認した実測記録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</x:row>
    <x:row r="4">
      <x:c r="A4" s="28" t="str">
        <x:v>このシートは検証パターンの履歴です。検索の現行診断は42件へ拡張済みです。最新の正常版・追加機能の結果は「最新診断結果」シートを参照してください。</x:v>
      </x:c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</x:row>
    <x:row r="5">
      <x:c r="A5" s="19" t="s">
        <x:v>2</x:v>
      </x:c>
      <x:c r="B5" s="19" t="s">
        <x:v>10</x:v>
      </x:c>
      <x:c r="C5" s="19" t="s">
        <x:v>11</x:v>
      </x:c>
      <x:c r="D5" s="19" t="s">
        <x:v>12</x:v>
      </x:c>
      <x:c r="E5" s="19" t="s">
        <x:v>5</x:v>
      </x:c>
      <x:c r="F5" s="19" t="s">
        <x:v>6</x:v>
      </x:c>
      <x:c r="G5" s="19" t="s">
        <x:v>7</x:v>
      </x:c>
      <x:c r="H5" s="19" t="s">
        <x:v>13</x:v>
      </x:c>
      <x:c r="I5" s="19" t="s">
        <x:v>14</x:v>
      </x:c>
      <x:c r="J5" s="19" t="s">
        <x:v>15</x:v>
      </x:c>
      <x:c r="K5" s="19" t="s">
        <x:v>16</x:v>
      </x:c>
      <x:c r="L5" s="19" t="s">
        <x:v>17</x:v>
      </x:c>
    </x:row>
    <x:row r="6" ht="58.04999923706055" customHeight="1">
      <x:c r="A6" s="21" t="s">
        <x:v>18</x:v>
      </x:c>
      <x:c r="B6" s="21" t="s">
        <x:v>19</x:v>
      </x:c>
      <x:c r="C6" s="20" t="s">
        <x:v>20</x:v>
      </x:c>
      <x:c r="D6" s="22">
        <x:v>29</x:v>
      </x:c>
      <x:c r="E6" s="22">
        <x:v>14</x:v>
      </x:c>
      <x:c r="F6" s="22">
        <x:v>14</x:v>
      </x:c>
      <x:c r="G6" s="22">
        <x:v>1</x:v>
      </x:c>
      <x:c r="H6" s="23" t="n">
        <x:f t="shared" ref="H6:H13" si="0">F6/D6</x:f>
        <x:v>0.4827586206896552</x:v>
      </x:c>
      <x:c r="I6" s="21" t="s">
        <x:v>21</x:v>
      </x:c>
      <x:c r="J6" s="24" t="s">
        <x:v>22</x:v>
      </x:c>
      <x:c r="K6" s="24" t="s">
        <x:v>23</x:v>
      </x:c>
      <x:c r="L6" s="24" t="s">
        <x:v>24</x:v>
      </x:c>
    </x:row>
    <x:row r="7" ht="58.04999923706055" customHeight="1">
      <x:c r="A7" s="21" t="s">
        <x:v>18</x:v>
      </x:c>
      <x:c r="B7" s="21" t="s">
        <x:v>25</x:v>
      </x:c>
      <x:c r="C7" s="20" t="s">
        <x:v>26</x:v>
      </x:c>
      <x:c r="D7" s="22">
        <x:v>29</x:v>
      </x:c>
      <x:c r="E7" s="22">
        <x:v>13</x:v>
      </x:c>
      <x:c r="F7" s="22">
        <x:v>15</x:v>
      </x:c>
      <x:c r="G7" s="22">
        <x:v>1</x:v>
      </x:c>
      <x:c r="H7" s="23">
        <x:f t="shared" si="0"/>
        <x:v>0.51724137931034486</x:v>
      </x:c>
      <x:c r="I7" s="21" t="s">
        <x:v>21</x:v>
      </x:c>
      <x:c r="J7" s="24" t="s">
        <x:v>27</x:v>
      </x:c>
      <x:c r="K7" s="24" t="s">
        <x:v>28</x:v>
      </x:c>
      <x:c r="L7" s="24" t="s">
        <x:v>29</x:v>
      </x:c>
    </x:row>
    <x:row r="8" ht="58.04999923706055" customHeight="1">
      <x:c r="A8" s="21" t="s">
        <x:v>30</x:v>
      </x:c>
      <x:c r="B8" s="21" t="s">
        <x:v>19</x:v>
      </x:c>
      <x:c r="C8" s="20" t="s">
        <x:v>31</x:v>
      </x:c>
      <x:c r="D8" s="22">
        <x:v>34</x:v>
      </x:c>
      <x:c r="E8" s="22">
        <x:v>15</x:v>
      </x:c>
      <x:c r="F8" s="22">
        <x:v>16</x:v>
      </x:c>
      <x:c r="G8" s="22">
        <x:v>3</x:v>
      </x:c>
      <x:c r="H8" s="23">
        <x:f t="shared" si="0"/>
        <x:v>0.47058823529411764</x:v>
      </x:c>
      <x:c r="I8" s="21" t="s">
        <x:v>21</x:v>
      </x:c>
      <x:c r="J8" s="24" t="s">
        <x:v>32</x:v>
      </x:c>
      <x:c r="K8" s="24" t="s">
        <x:v>33</x:v>
      </x:c>
      <x:c r="L8" s="24" t="s">
        <x:v>34</x:v>
      </x:c>
    </x:row>
    <x:row r="9" ht="58.04999923706055" customHeight="1">
      <x:c r="A9" s="21" t="s">
        <x:v>30</x:v>
      </x:c>
      <x:c r="B9" s="21" t="s">
        <x:v>25</x:v>
      </x:c>
      <x:c r="C9" s="20" t="s">
        <x:v>35</x:v>
      </x:c>
      <x:c r="D9" s="22">
        <x:v>34</x:v>
      </x:c>
      <x:c r="E9" s="22">
        <x:v>14</x:v>
      </x:c>
      <x:c r="F9" s="22">
        <x:v>17</x:v>
      </x:c>
      <x:c r="G9" s="22">
        <x:v>3</x:v>
      </x:c>
      <x:c r="H9" s="23">
        <x:f t="shared" si="0"/>
        <x:v>0.5</x:v>
      </x:c>
      <x:c r="I9" s="21" t="s">
        <x:v>21</x:v>
      </x:c>
      <x:c r="J9" s="24" t="s">
        <x:v>36</x:v>
      </x:c>
      <x:c r="K9" s="24" t="s">
        <x:v>37</x:v>
      </x:c>
      <x:c r="L9" s="24" t="s">
        <x:v>38</x:v>
      </x:c>
    </x:row>
    <x:row r="10" ht="58.04999923706055" customHeight="1">
      <x:c r="A10" s="21" t="s">
        <x:v>39</x:v>
      </x:c>
      <x:c r="B10" s="21" t="s">
        <x:v>19</x:v>
      </x:c>
      <x:c r="C10" s="20" t="s">
        <x:v>40</x:v>
      </x:c>
      <x:c r="D10" s="22">
        <x:v>35</x:v>
      </x:c>
      <x:c r="E10" s="22">
        <x:v>13</x:v>
      </x:c>
      <x:c r="F10" s="22">
        <x:v>17</x:v>
      </x:c>
      <x:c r="G10" s="22">
        <x:v>5</x:v>
      </x:c>
      <x:c r="H10" s="23">
        <x:f t="shared" si="0"/>
        <x:v>0.48571428571428571</x:v>
      </x:c>
      <x:c r="I10" s="21" t="s">
        <x:v>21</x:v>
      </x:c>
      <x:c r="J10" s="24" t="s">
        <x:v>41</x:v>
      </x:c>
      <x:c r="K10" s="24" t="s">
        <x:v>42</x:v>
      </x:c>
      <x:c r="L10" s="24" t="s">
        <x:v>43</x:v>
      </x:c>
    </x:row>
    <x:row r="11" ht="58.04999923706055" customHeight="1">
      <x:c r="A11" s="21" t="s">
        <x:v>39</x:v>
      </x:c>
      <x:c r="B11" s="21" t="s">
        <x:v>25</x:v>
      </x:c>
      <x:c r="C11" s="20" t="s">
        <x:v>44</x:v>
      </x:c>
      <x:c r="D11" s="22">
        <x:v>35</x:v>
      </x:c>
      <x:c r="E11" s="22">
        <x:v>12</x:v>
      </x:c>
      <x:c r="F11" s="22">
        <x:v>18</x:v>
      </x:c>
      <x:c r="G11" s="22">
        <x:v>5</x:v>
      </x:c>
      <x:c r="H11" s="23">
        <x:f t="shared" si="0"/>
        <x:v>0.51428571428571423</x:v>
      </x:c>
      <x:c r="I11" s="21" t="s">
        <x:v>21</x:v>
      </x:c>
      <x:c r="J11" s="24" t="s">
        <x:v>45</x:v>
      </x:c>
      <x:c r="K11" s="24" t="s">
        <x:v>46</x:v>
      </x:c>
      <x:c r="L11" s="24" t="s">
        <x:v>47</x:v>
      </x:c>
    </x:row>
    <x:row r="12" ht="58.04999923706055" customHeight="1">
      <x:c r="A12" s="21" t="s">
        <x:v>48</x:v>
      </x:c>
      <x:c r="B12" s="21" t="s">
        <x:v>19</x:v>
      </x:c>
      <x:c r="C12" s="20" t="s">
        <x:v>49</x:v>
      </x:c>
      <x:c r="D12" s="22">
        <x:v>15</x:v>
      </x:c>
      <x:c r="E12" s="22">
        <x:v>7</x:v>
      </x:c>
      <x:c r="F12" s="22">
        <x:v>7</x:v>
      </x:c>
      <x:c r="G12" s="22">
        <x:v>1</x:v>
      </x:c>
      <x:c r="H12" s="23">
        <x:f t="shared" si="0"/>
        <x:v>0.46666666666666667</x:v>
      </x:c>
      <x:c r="I12" s="21" t="s">
        <x:v>21</x:v>
      </x:c>
      <x:c r="J12" s="24" t="s">
        <x:v>50</x:v>
      </x:c>
      <x:c r="K12" s="24" t="s">
        <x:v>51</x:v>
      </x:c>
      <x:c r="L12" s="24" t="s">
        <x:v>52</x:v>
      </x:c>
    </x:row>
    <x:row r="13" ht="58.04999923706055" customHeight="1">
      <x:c r="A13" s="21" t="s">
        <x:v>48</x:v>
      </x:c>
      <x:c r="B13" s="21" t="s">
        <x:v>25</x:v>
      </x:c>
      <x:c r="C13" s="20" t="s">
        <x:v>53</x:v>
      </x:c>
      <x:c r="D13" s="22">
        <x:v>15</x:v>
      </x:c>
      <x:c r="E13" s="22">
        <x:v>6</x:v>
      </x:c>
      <x:c r="F13" s="22">
        <x:v>8</x:v>
      </x:c>
      <x:c r="G13" s="22">
        <x:v>1</x:v>
      </x:c>
      <x:c r="H13" s="23">
        <x:f t="shared" si="0"/>
        <x:v>0.53333333333333333</x:v>
      </x:c>
      <x:c r="I13" s="21" t="s">
        <x:v>21</x:v>
      </x:c>
      <x:c r="J13" s="24" t="s">
        <x:v>54</x:v>
      </x:c>
      <x:c r="K13" s="24" t="s">
        <x:v>55</x:v>
      </x:c>
      <x:c r="L13" s="24" t="s">
        <x:v>56</x:v>
      </x:c>
    </x:row>
  </x:sheetData>
  <x:mergeCells>
    <x:mergeCell ref="A1:L1"/>
    <x:mergeCell ref="A2:L2"/>
    <x:mergeCell ref="A4:L4"/>
  </x:mergeCells>
  <x:conditionalFormatting sqref="H6:H13">
    <x:cfRule type="cellIs" dxfId="1" priority="1" operator="greaterThanOrEqual">
      <x:formula>0.5</x:formula>
    </x:cfRule>
  </x:conditionalFormatting>
  <x:conditionalFormatting sqref="I6:I13">
    <x:cfRule type="containsText" dxfId="0" priority="2" operator="containsText" text="成功"/>
  </x:conditionalFormatting>
  <x:pageMargins left="0.7" right="0.7" top="0.75" bottom="0.75" header="0.3" footer="0.3"/>
  <x:tableParts count="1">
    <x:tablePart xmlns:r="http://schemas.openxmlformats.org/officeDocument/2006/relationships" r:id="R0b6e164fd7bd4bc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15.630000114440918" hidden="0" customWidth="1"/>
    <x:col min="3" max="3" width="13.130000114440918" hidden="0" customWidth="1"/>
    <x:col min="4" max="4" width="8.75" hidden="0" customWidth="1"/>
    <x:col min="5" max="5" width="8.75" hidden="0" customWidth="1"/>
    <x:col min="6" max="6" width="8.75" hidden="0" customWidth="1"/>
    <x:col min="7" max="7" width="8.75" hidden="0" customWidth="1"/>
    <x:col min="8" max="8" width="11.880000114440918" hidden="0" customWidth="1"/>
    <x:col min="9" max="9" width="16.25" hidden="0" customWidth="1"/>
    <x:col min="10" max="10" width="35" hidden="0" customWidth="1"/>
  </x:cols>
  <x:sheetData>
    <x:row r="1" ht="33" customHeight="1">
      <x:c r="A1" s="41" t="str">
        <x:v>EIMS 最新診断結果</x:v>
      </x:c>
      <x:c r="B1" s="41"/>
      <x:c r="C1" s="41"/>
      <x:c r="D1" s="41"/>
      <x:c r="E1" s="41"/>
      <x:c r="F1" s="41"/>
      <x:c r="G1" s="41"/>
      <x:c r="H1" s="41"/>
      <x:c r="I1" s="41"/>
      <x:c r="J1" s="41"/>
    </x:row>
    <x:row r="2" ht="21" customHeight="1">
      <x:c r="A2" s="45" t="str">
        <x:v>実行日：2026-07-16　main正常版および追加機能の最新診断構成</x:v>
      </x:c>
      <x:c r="B2" s="45"/>
      <x:c r="C2" s="45"/>
      <x:c r="D2" s="45"/>
      <x:c r="E2" s="45"/>
      <x:c r="F2" s="45"/>
      <x:c r="G2" s="45"/>
      <x:c r="H2" s="45"/>
      <x:c r="I2" s="45"/>
      <x:c r="J2" s="45"/>
    </x:row>
    <x:row r="3">
      <x:c r="A3"/>
      <x:c r="B3"/>
      <x:c r="C3"/>
      <x:c r="D3"/>
      <x:c r="E3"/>
      <x:c r="F3"/>
      <x:c r="G3"/>
      <x:c r="H3"/>
      <x:c r="I3"/>
      <x:c r="J3"/>
    </x:row>
    <x:row r="4" ht="31.5" customHeight="1">
      <x:c r="A4" s="49" t="str">
        <x:v>対象外はDB停止や発展オプションなど、通常の自動診断では実施しない項目です。必須項目の達成率は対象外を除いて算出しています。</x:v>
      </x:c>
      <x:c r="B4" s="49"/>
      <x:c r="C4" s="49"/>
      <x:c r="D4" s="49"/>
      <x:c r="E4" s="49"/>
      <x:c r="F4" s="49"/>
      <x:c r="G4" s="49"/>
      <x:c r="H4" s="49"/>
      <x:c r="I4" s="49"/>
      <x:c r="J4" s="49"/>
    </x:row>
    <x:row r="5" ht="21" customHeight="1">
      <x:c r="A5" s="54" t="str">
        <x:v>区分</x:v>
      </x:c>
      <x:c r="B5" s="54" t="str">
        <x:v>機能</x:v>
      </x:c>
      <x:c r="C5" s="54" t="str">
        <x:v>実行範囲</x:v>
      </x:c>
      <x:c r="D5" s="54" t="str">
        <x:v>全件</x:v>
      </x:c>
      <x:c r="E5" s="54" t="str">
        <x:v>合格</x:v>
      </x:c>
      <x:c r="F5" s="54" t="str">
        <x:v>要修正</x:v>
      </x:c>
      <x:c r="G5" s="54" t="str">
        <x:v>対象外</x:v>
      </x:c>
      <x:c r="H5" s="54" t="str">
        <x:v>必須達成率</x:v>
      </x:c>
      <x:c r="I5" s="54" t="str">
        <x:v>仕様判定</x:v>
      </x:c>
      <x:c r="J5" s="54" t="str">
        <x:v>結果の根拠</x:v>
      </x:c>
    </x:row>
    <x:row r="6" ht="33" customHeight="1">
      <x:c r="A6" s="58" t="str">
        <x:v>共通機能</x:v>
      </x:c>
      <x:c r="B6" s="58" t="str">
        <x:v>検索</x:v>
      </x:c>
      <x:c r="C6" s="58" t="str">
        <x:v>個別バッチ</x:v>
      </x:c>
      <x:c r="D6" s="64" t="n">
        <x:v>42</x:v>
      </x:c>
      <x:c r="E6" s="64" t="n">
        <x:v>41</x:v>
      </x:c>
      <x:c r="F6" s="64" t="n">
        <x:v>0</x:v>
      </x:c>
      <x:c r="G6" s="64" t="n">
        <x:v>1</x:v>
      </x:c>
      <x:c r="H6" s="67" t="n">
        <x:v>1</x:v>
      </x:c>
      <x:c r="I6" s="64" t="str">
        <x:v>一般仕様達成</x:v>
      </x:c>
      <x:c r="J6" s="58" t="str">
        <x:v>eims-report.html（2026-07-16実行）</x:v>
      </x:c>
    </x:row>
    <x:row r="7" ht="33" customHeight="1">
      <x:c r="A7" s="57" t="str">
        <x:v>共通機能</x:v>
      </x:c>
      <x:c r="B7" s="57" t="str">
        <x:v>登録</x:v>
      </x:c>
      <x:c r="C7" s="57" t="str">
        <x:v>個別バッチ</x:v>
      </x:c>
      <x:c r="D7" s="65" t="n">
        <x:v>34</x:v>
      </x:c>
      <x:c r="E7" s="65" t="n">
        <x:v>31</x:v>
      </x:c>
      <x:c r="F7" s="65" t="n">
        <x:v>0</x:v>
      </x:c>
      <x:c r="G7" s="65" t="n">
        <x:v>3</x:v>
      </x:c>
      <x:c r="H7" s="68" t="n">
        <x:v>1</x:v>
      </x:c>
      <x:c r="I7" s="65" t="str">
        <x:v>一般仕様達成</x:v>
      </x:c>
      <x:c r="J7" s="57" t="str">
        <x:v>main正常版の確認結果</x:v>
      </x:c>
    </x:row>
    <x:row r="8" ht="33" customHeight="1">
      <x:c r="A8" s="58" t="str">
        <x:v>共通機能</x:v>
      </x:c>
      <x:c r="B8" s="58" t="str">
        <x:v>更新</x:v>
      </x:c>
      <x:c r="C8" s="58" t="str">
        <x:v>個別バッチ</x:v>
      </x:c>
      <x:c r="D8" s="64" t="n">
        <x:v>35</x:v>
      </x:c>
      <x:c r="E8" s="64" t="n">
        <x:v>30</x:v>
      </x:c>
      <x:c r="F8" s="64" t="n">
        <x:v>0</x:v>
      </x:c>
      <x:c r="G8" s="64" t="n">
        <x:v>5</x:v>
      </x:c>
      <x:c r="H8" s="67" t="n">
        <x:v>1</x:v>
      </x:c>
      <x:c r="I8" s="64" t="str">
        <x:v>一般仕様達成</x:v>
      </x:c>
      <x:c r="J8" s="58" t="str">
        <x:v>main正常版の確認結果</x:v>
      </x:c>
    </x:row>
    <x:row r="9" ht="33" customHeight="1">
      <x:c r="A9" s="57" t="str">
        <x:v>共通機能</x:v>
      </x:c>
      <x:c r="B9" s="57" t="str">
        <x:v>削除</x:v>
      </x:c>
      <x:c r="C9" s="57" t="str">
        <x:v>個別バッチ</x:v>
      </x:c>
      <x:c r="D9" s="65" t="n">
        <x:v>15</x:v>
      </x:c>
      <x:c r="E9" s="65" t="n">
        <x:v>14</x:v>
      </x:c>
      <x:c r="F9" s="65" t="n">
        <x:v>0</x:v>
      </x:c>
      <x:c r="G9" s="65" t="n">
        <x:v>1</x:v>
      </x:c>
      <x:c r="H9" s="68" t="n">
        <x:v>1</x:v>
      </x:c>
      <x:c r="I9" s="65" t="str">
        <x:v>一般仕様達成</x:v>
      </x:c>
      <x:c r="J9" s="57" t="str">
        <x:v>main正常版の確認結果</x:v>
      </x:c>
    </x:row>
    <x:row r="10" ht="33" customHeight="1">
      <x:c r="A10" s="58" t="str">
        <x:v>追加機能</x:v>
      </x:c>
      <x:c r="B10" s="58" t="str">
        <x:v>追加機能総合</x:v>
      </x:c>
      <x:c r="C10" s="58" t="str">
        <x:v>総合バッチ</x:v>
      </x:c>
      <x:c r="D10" s="64" t="n">
        <x:v>47</x:v>
      </x:c>
      <x:c r="E10" s="64" t="n">
        <x:v>46</x:v>
      </x:c>
      <x:c r="F10" s="64" t="n">
        <x:v>0</x:v>
      </x:c>
      <x:c r="G10" s="64" t="n">
        <x:v>1</x:v>
      </x:c>
      <x:c r="H10" s="67" t="n">
        <x:v>1</x:v>
      </x:c>
      <x:c r="I10" s="64" t="str">
        <x:v>一般仕様達成</x:v>
      </x:c>
      <x:c r="J10" s="58" t="str">
        <x:v>eims-additional-report.html（2026-07-16実行）</x:v>
      </x:c>
    </x:row>
    <x:row r="11" ht="33" customHeight="1">
      <x:c r="A11" s="63" t="str">
        <x:v>合計</x:v>
      </x:c>
      <x:c r="B11" s="63" t="str">
        <x:v>5診断</x:v>
      </x:c>
      <x:c r="C11" s="63"/>
      <x:c r="D11" s="66" t="n">
        <x:v>173</x:v>
      </x:c>
      <x:c r="E11" s="66" t="n">
        <x:v>162</x:v>
      </x:c>
      <x:c r="F11" s="66" t="n">
        <x:v>0</x:v>
      </x:c>
      <x:c r="G11" s="66" t="n">
        <x:v>11</x:v>
      </x:c>
      <x:c r="H11" s="69" t="n">
        <x:v>1</x:v>
      </x:c>
      <x:c r="I11" s="66" t="str">
        <x:v>必須項目すべて合格</x:v>
      </x:c>
      <x:c r="J11" s="63" t="str">
        <x:v>検索42件＋登録34件＋更新35件＋削除15件＋追加47件</x:v>
      </x:c>
    </x:row>
  </x:sheetData>
  <x:mergeCells>
    <x:mergeCell ref="A1:J1"/>
    <x:mergeCell ref="A2:J2"/>
    <x:mergeCell ref="A4:J4"/>
  </x:mergeCells>
  <x:pageMargins left="0.7" right="0.7" top="0.75" bottom="0.75" header="0.3" footer="0.3"/>
</x:worksheet>
</file>
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68fc3c8aeb40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要" sheetId="1" r:id="Rb85010ebb82a49c7"/>
    <x:sheet xmlns:r="http://schemas.openxmlformats.org/officeDocument/2006/relationships" name="検証結果一覧" sheetId="2" r:id="R4d3be16dd3ea47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&quot;件&quot;"/>
    <x:numFmt numFmtId="201" formatCode="0"/>
    <x:numFmt numFmtId="202" formatCode="0.0%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365D"/>
      <x:name val="Carlito"/>
    </x:font>
    <x:font>
      <x:b/>
      <x:sz val="11"/>
      <x:color rgb="FF17365D"/>
      <x:name val="Carlito"/>
    </x:font>
    <x:font>
      <x:b/>
      <x:sz val="13"/>
      <x:color rgb="FFFFFFFF"/>
      <x:name val="Carlito"/>
    </x:font>
    <x:font>
      <x:b/>
      <x:sz val="11"/>
      <x:color rgb="FFFFFFFF"/>
      <x:name val="Carlito"/>
    </x:font>
    <x:font>
      <x:sz val="11"/>
      <x:color rgb="FF666666"/>
      <x:name val="Carlito"/>
    </x:font>
    <x:font>
      <x:b/>
      <x:sz val="18"/>
      <x:color rgb="FFFFFFFF"/>
      <x:name val="Yu Gothic"/>
    </x:font>
    <x:font>
      <x:sz val="11"/>
      <x:color rgb="FF17365D"/>
      <x:name val="Carlito"/>
    </x:font>
    <x:font>
      <x:b/>
      <x:sz val="10"/>
      <x:color rgb="FFFFFFFF"/>
      <x:name val="Yu Gothic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2F75B5"/>
      </x:patternFill>
    </x:fill>
    <x:fill>
      <x:patternFill patternType="solid">
        <x:fgColor rgb="FFF2F2F2"/>
      </x:patternFill>
    </x:fill>
  </x:fills>
  <x:borders count="18">
    <x:border/>
    <x:border>
      <x:left style="thin">
        <x:color rgb="FFA9D18E"/>
      </x:left>
      <x:top style="thin">
        <x:color rgb="FFA9D18E"/>
      </x:top>
    </x:border>
    <x:border>
      <x:right style="thin">
        <x:color rgb="FFA9D18E"/>
      </x:right>
      <x:top style="thin">
        <x:color rgb="FFA9D18E"/>
      </x:top>
    </x:border>
    <x:border>
      <x:left style="thin">
        <x:color rgb="FFA9D18E"/>
      </x:left>
      <x:bottom style="thin">
        <x:color rgb="FFA9D18E"/>
      </x:bottom>
    </x:border>
    <x:border>
      <x:right style="thin">
        <x:color rgb="FFA9D18E"/>
      </x:right>
      <x:bottom style="thin">
        <x:color rgb="FFA9D18E"/>
      </x:bottom>
    </x:border>
    <x:border>
      <x:left style="thin">
        <x:color rgb="FFD6B656"/>
      </x:left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6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2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3" fillId="4" borderId="1" xfId="0" applyNumberFormat="1" applyFont="1" applyFill="1" applyBorder="1"/>
    <x:xf numFmtId="0" fontId="3" fillId="4" borderId="3" xfId="0" applyNumberFormat="1" applyFont="1" applyFill="1" applyBorder="1"/>
    <x:xf numFmtId="0" fontId="0" fillId="5" borderId="0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3" fillId="5" borderId="5" xfId="0" applyNumberFormat="1" applyFont="1" applyFill="1" applyBorder="1"/>
    <x:xf numFmtId="0" fontId="3" fillId="5" borderId="6" xfId="0" applyNumberFormat="1" applyFont="1" applyFill="1" applyBorder="1"/>
    <x:xf numFmtId="200" fontId="3" fillId="5" borderId="6" xfId="0" applyNumberFormat="1" applyFont="1" applyFill="1" applyBorder="1"/>
    <x:xf numFmtId="0" fontId="3" fillId="4" borderId="2" xfId="0" applyNumberFormat="1" applyFont="1" applyFill="1" applyBorder="1"/>
    <x:xf numFmtId="200" fontId="3" fillId="4" borderId="2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0" xfId="0" applyNumberFormat="1" applyFont="1" applyFill="1" applyBorder="1" applyAlignment="1">
      <x:alignment horizontal="center"/>
    </x:xf>
    <x:xf numFmtId="0" fontId="0" fillId="0" borderId="13" xfId="0" applyNumberFormat="1" applyFont="1" applyFill="1" applyBorder="1" applyAlignment="1">
      <x:alignment horizontal="center"/>
    </x:xf>
    <x:xf numFmtId="0" fontId="0" fillId="0" borderId="16" xfId="0" applyNumberFormat="1" applyFont="1" applyFill="1" applyBorder="1" applyAlignment="1">
      <x:alignment horizontal="center"/>
    </x:xf>
    <x:xf numFmtId="201" fontId="0" fillId="0" borderId="10" xfId="0" applyNumberFormat="1" applyFont="1" applyFill="1" applyBorder="1" applyAlignment="1">
      <x:alignment horizontal="center"/>
    </x:xf>
    <x:xf numFmtId="201" fontId="0" fillId="0" borderId="13" xfId="0" applyNumberFormat="1" applyFont="1" applyFill="1" applyBorder="1" applyAlignment="1">
      <x:alignment horizontal="center"/>
    </x:xf>
    <x:xf numFmtId="201" fontId="0" fillId="0" borderId="16" xfId="0" applyNumberFormat="1" applyFont="1" applyFill="1" applyBorder="1" applyAlignment="1">
      <x:alignment horizontal="center"/>
    </x:xf>
    <x:xf numFmtId="202" fontId="0" fillId="0" borderId="11" xfId="0" applyNumberFormat="1" applyFont="1" applyFill="1" applyBorder="1"/>
    <x:xf numFmtId="202" fontId="0" fillId="0" borderId="14" xfId="0" applyNumberFormat="1" applyFont="1" applyFill="1" applyBorder="1"/>
    <x:xf numFmtId="202" fontId="0" fillId="0" borderId="17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horizontal="center" vertical="center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3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c476a4249a44de" /><Relationship Type="http://schemas.openxmlformats.org/officeDocument/2006/relationships/theme" Target="/xl/theme/theme1.xml" Id="R35c3505310ca4615" /><Relationship Type="http://schemas.openxmlformats.org/officeDocument/2006/relationships/sharedStrings" Target="/xl/sharedStrings.xml" Id="R84a94c6895424312" /><Relationship Type="http://schemas.openxmlformats.org/officeDocument/2006/relationships/worksheet" Target="/xl/worksheets/sheet1.xml" Id="Rb85010ebb82a49c7" /><Relationship Type="http://schemas.openxmlformats.org/officeDocument/2006/relationships/worksheet" Target="/xl/worksheets/sheet2.xml" Id="R4d3be16dd3ea471a" /></Relationships>
</file>

<file path=xl/tables/table1.xml><?xml version="1.0" encoding="utf-8"?>
<x:table xmlns:x="http://schemas.openxmlformats.org/spreadsheetml/2006/main" id="1" name="ValidationResultsTable" displayName="ValidationResultsTable" ref="A5:M13" headerRowCount="1" totalsRowCount="0" totalsRowShown="0">
  <x:autoFilter ref="A5:M13"/>
  <x:tableColumns count="13">
    <x:tableColumn id="1" name="機能"/>
    <x:tableColumn id="2" name="パターン"/>
    <x:tableColumn id="3" name="ブランチ"/>
    <x:tableColumn id="4" name="コミット"/>
    <x:tableColumn id="5" name="全件"/>
    <x:tableColumn id="6" name="合格"/>
    <x:tableColumn id="7" name="不合格"/>
    <x:tableColumn id="8" name="対象外"/>
    <x:tableColumn id="9" name="不合格率"/>
    <x:tableColumn id="10" name="ビルド"/>
    <x:tableColumn id="11" name="不合格テストID"/>
    <x:tableColumn id="12" name="意図的な実装漏れ"/>
    <x:tableColumn id="13" name="診断結果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9d0f11ee2c54a0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3" hidden="0" customWidth="1"/>
    <x:col min="3" max="3" width="14" hidden="0" customWidth="1"/>
    <x:col min="4" max="4" width="12" hidden="0" customWidth="1"/>
    <x:col min="5" max="5" width="12" hidden="0" customWidth="1"/>
    <x:col min="6" max="6" width="12" hidden="0" customWidth="1"/>
    <x:col min="7" max="7" width="17" hidden="0" customWidth="1"/>
    <x:col min="8" max="8" width="12" hidden="0" customWidth="1"/>
  </x:cols>
  <x:sheetData>
    <x:row r="1" ht="34" customHeight="1">
      <x:c r="A1" s="51" t="str">
        <x:v>EIMS 機能別・検証用不具合パターン結果</x:v>
      </x:c>
      <x:c r="B1" s="51"/>
      <x:c r="C1" s="51"/>
      <x:c r="D1" s="51"/>
      <x:c r="E1" s="51"/>
      <x:c r="F1" s="51"/>
      <x:c r="G1" s="51"/>
      <x:c r="H1" s="51"/>
    </x:row>
    <x:row r="2" ht="26" customHeight="1">
      <x:c r="A2" s="8" t="str">
        <x:v>正常版から分離した8ブランチについて、ビルド成功とPlaywright診断結果を記録しています。</x:v>
      </x:c>
      <x:c r="B2" s="8"/>
      <x:c r="C2" s="8"/>
      <x:c r="D2" s="8"/>
      <x:c r="E2" s="8"/>
      <x:c r="F2" s="8"/>
      <x:c r="G2" s="8"/>
      <x:c r="H2" s="8"/>
    </x:row>
    <x:row r="4">
      <x:c r="A4" s="14" t="str">
        <x:v>正常版コミット</x:v>
      </x:c>
      <x:c r="B4" s="11"/>
      <x:c r="D4" s="21" t="str">
        <x:v>検証パターン数</x:v>
      </x:c>
      <x:c r="E4" s="23" t="n">
        <x:f>COUNTA('検証結果一覧'!$A$6:$A$13)</x:f>
        <x:v>8</x:v>
      </x:c>
      <x:c r="G4" s="14" t="str">
        <x:v>ビルド成功</x:v>
      </x:c>
      <x:c r="H4" s="25" t="n">
        <x:f>COUNTIF('検証結果一覧'!$J$6:$J$13,"成功")</x:f>
        <x:v>8</x:v>
      </x:c>
    </x:row>
    <x:row r="5">
      <x:c r="A5" s="15" t="str">
        <x:v>02bc2e1</x:v>
      </x:c>
      <x:c r="B5" s="13"/>
      <x:c r="D5" s="19"/>
      <x:c r="E5" s="20"/>
      <x:c r="G5" s="12"/>
      <x:c r="H5" s="13"/>
    </x:row>
    <x:row r="7">
      <x:c r="A7" s="27" t="str">
        <x:v>機能別集計</x:v>
      </x:c>
      <x:c r="B7" s="27"/>
      <x:c r="C7" s="27"/>
      <x:c r="D7" s="27"/>
      <x:c r="E7" s="27"/>
      <x:c r="F7" s="27"/>
      <x:c r="G7" s="27"/>
    </x:row>
    <x:row r="8">
      <x:c r="A8" s="29" t="str">
        <x:v>機能</x:v>
      </x:c>
      <x:c r="B8" s="29" t="str">
        <x:v>パターン数</x:v>
      </x:c>
      <x:c r="C8" s="29" t="str">
        <x:v>テスト件数</x:v>
      </x:c>
      <x:c r="D8" s="29" t="str">
        <x:v>合格</x:v>
      </x:c>
      <x:c r="E8" s="29" t="str">
        <x:v>不合格</x:v>
      </x:c>
      <x:c r="F8" s="29" t="str">
        <x:v>対象外</x:v>
      </x:c>
      <x:c r="G8" s="29" t="str">
        <x:v>平均不合格率</x:v>
      </x:c>
    </x:row>
    <x:row r="9">
      <x:c r="A9" s="30" t="str">
        <x:v>検索</x:v>
      </x:c>
      <x:c r="B9" s="42" t="n">
        <x:f>COUNTIF('検証結果一覧'!$A$6:$A$13,A9)</x:f>
        <x:v>2</x:v>
      </x:c>
      <x:c r="C9" s="42" t="n">
        <x:f>SUMIF('検証結果一覧'!$A$6:$A$13,A9,'検証結果一覧'!$E$6:$E$13)</x:f>
        <x:v>58</x:v>
      </x:c>
      <x:c r="D9" s="42" t="n">
        <x:f>SUMIF('検証結果一覧'!$A$6:$A$13,A9,'検証結果一覧'!$F$6:$F$13)</x:f>
        <x:v>27</x:v>
      </x:c>
      <x:c r="E9" s="42" t="n">
        <x:f>SUMIF('検証結果一覧'!$A$6:$A$13,A9,'検証結果一覧'!$G$6:$G$13)</x:f>
        <x:v>29</x:v>
      </x:c>
      <x:c r="F9" s="42" t="n">
        <x:f>SUMIF('検証結果一覧'!$A$6:$A$13,A9,'検証結果一覧'!$H$6:$H$13)</x:f>
        <x:v>2</x:v>
      </x:c>
      <x:c r="G9" s="45" t="n">
        <x:f>E9/C9</x:f>
        <x:v>0.5</x:v>
      </x:c>
    </x:row>
    <x:row r="10">
      <x:c r="A10" s="33" t="str">
        <x:v>登録</x:v>
      </x:c>
      <x:c r="B10" s="43" t="n">
        <x:f>COUNTIF('検証結果一覧'!$A$6:$A$13,A10)</x:f>
        <x:v>2</x:v>
      </x:c>
      <x:c r="C10" s="43" t="n">
        <x:f>SUMIF('検証結果一覧'!$A$6:$A$13,A10,'検証結果一覧'!$E$6:$E$13)</x:f>
        <x:v>68</x:v>
      </x:c>
      <x:c r="D10" s="43" t="n">
        <x:f>SUMIF('検証結果一覧'!$A$6:$A$13,A10,'検証結果一覧'!$F$6:$F$13)</x:f>
        <x:v>29</x:v>
      </x:c>
      <x:c r="E10" s="43" t="n">
        <x:f>SUMIF('検証結果一覧'!$A$6:$A$13,A10,'検証結果一覧'!$G$6:$G$13)</x:f>
        <x:v>33</x:v>
      </x:c>
      <x:c r="F10" s="43" t="n">
        <x:f>SUMIF('検証結果一覧'!$A$6:$A$13,A10,'検証結果一覧'!$H$6:$H$13)</x:f>
        <x:v>6</x:v>
      </x:c>
      <x:c r="G10" s="46" t="n">
        <x:f>E10/C10</x:f>
        <x:v>0.4852941176470588</x:v>
      </x:c>
    </x:row>
    <x:row r="11">
      <x:c r="A11" s="33" t="str">
        <x:v>更新</x:v>
      </x:c>
      <x:c r="B11" s="43" t="n">
        <x:f>COUNTIF('検証結果一覧'!$A$6:$A$13,A11)</x:f>
        <x:v>2</x:v>
      </x:c>
      <x:c r="C11" s="43" t="n">
        <x:f>SUMIF('検証結果一覧'!$A$6:$A$13,A11,'検証結果一覧'!$E$6:$E$13)</x:f>
        <x:v>70</x:v>
      </x:c>
      <x:c r="D11" s="43" t="n">
        <x:f>SUMIF('検証結果一覧'!$A$6:$A$13,A11,'検証結果一覧'!$F$6:$F$13)</x:f>
        <x:v>25</x:v>
      </x:c>
      <x:c r="E11" s="43" t="n">
        <x:f>SUMIF('検証結果一覧'!$A$6:$A$13,A11,'検証結果一覧'!$G$6:$G$13)</x:f>
        <x:v>35</x:v>
      </x:c>
      <x:c r="F11" s="43" t="n">
        <x:f>SUMIF('検証結果一覧'!$A$6:$A$13,A11,'検証結果一覧'!$H$6:$H$13)</x:f>
        <x:v>10</x:v>
      </x:c>
      <x:c r="G11" s="46" t="n">
        <x:f>E11/C11</x:f>
        <x:v>0.5</x:v>
      </x:c>
    </x:row>
    <x:row r="12">
      <x:c r="A12" s="36" t="str">
        <x:v>削除</x:v>
      </x:c>
      <x:c r="B12" s="44" t="n">
        <x:f>COUNTIF('検証結果一覧'!$A$6:$A$13,A12)</x:f>
        <x:v>2</x:v>
      </x:c>
      <x:c r="C12" s="44" t="n">
        <x:f>SUMIF('検証結果一覧'!$A$6:$A$13,A12,'検証結果一覧'!$E$6:$E$13)</x:f>
        <x:v>30</x:v>
      </x:c>
      <x:c r="D12" s="44" t="n">
        <x:f>SUMIF('検証結果一覧'!$A$6:$A$13,A12,'検証結果一覧'!$F$6:$F$13)</x:f>
        <x:v>13</x:v>
      </x:c>
      <x:c r="E12" s="44" t="n">
        <x:f>SUMIF('検証結果一覧'!$A$6:$A$13,A12,'検証結果一覧'!$G$6:$G$13)</x:f>
        <x:v>15</x:v>
      </x:c>
      <x:c r="F12" s="44" t="n">
        <x:f>SUMIF('検証結果一覧'!$A$6:$A$13,A12,'検証結果一覧'!$H$6:$H$13)</x:f>
        <x:v>2</x:v>
      </x:c>
      <x:c r="G12" s="47" t="n">
        <x:f>E12/C12</x:f>
        <x:v>0.5</x:v>
      </x:c>
    </x:row>
    <x:row r="14" ht="36" customHeight="1">
      <x:c r="A14" s="50" t="str">
        <x:v>運用メモ：通常利用時は main（正常版）を使用し、検証時だけ対象ブランチへ切り替えます。各ブランチは正常版コミット 02bc2e1 から独立しています。</x:v>
      </x:c>
      <x:c r="B14" s="50"/>
      <x:c r="C14" s="50"/>
      <x:c r="D14" s="50"/>
      <x:c r="E14" s="50"/>
      <x:c r="F14" s="50"/>
      <x:c r="G14" s="50"/>
      <x:c r="H14" s="50"/>
    </x:row>
  </x:sheetData>
  <x:mergeCells>
    <x:mergeCell ref="A1:H1"/>
    <x:mergeCell ref="A2:H2"/>
    <x:mergeCell ref="A7:G7"/>
    <x:mergeCell ref="A14:H14"/>
  </x:mergeCells>
  <x:conditionalFormatting sqref="G9:G12">
    <x:cfRule type="cellIs" dxfId="0" priority="1" operator="greaterThanOrEqual">
      <x:formula>0.5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28" hidden="0" customWidth="1"/>
    <x:col min="4" max="4" width="13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37" hidden="0" customWidth="1"/>
    <x:col min="12" max="12" width="54" hidden="0" customWidth="1"/>
    <x:col min="13" max="13" width="40" hidden="0" customWidth="1"/>
  </x:cols>
  <x:sheetData>
    <x:row r="1" ht="34" customHeight="1">
      <x:c r="A1" s="62" t="str">
        <x:v>機能別検証パターン 実測結果一覧</x:v>
      </x:c>
      <x:c r="B1" s="62"/>
      <x:c r="C1" s="62"/>
      <x:c r="D1" s="62"/>
      <x:c r="E1" s="62"/>
      <x:c r="F1" s="62"/>
      <x:c r="G1" s="62"/>
      <x:c r="H1" s="62"/>
      <x:c r="I1" s="62"/>
      <x:c r="J1" s="62"/>
      <x:c r="K1" s="62"/>
      <x:c r="L1" s="62"/>
      <x:c r="M1" s="62"/>
    </x:row>
    <x:row r="2">
      <x:c r="A2" s="53" t="str">
        <x:v>実行日：2026-07-16　基準：機能ごとのテスト項目の約半数を、ビルドを壊さずに不合格として検出すること</x:v>
      </x:c>
      <x:c r="B2" s="53"/>
      <x:c r="C2" s="53"/>
      <x:c r="D2" s="53"/>
      <x:c r="E2" s="53"/>
      <x:c r="F2" s="53"/>
      <x:c r="G2" s="53"/>
      <x:c r="H2" s="53"/>
      <x:c r="I2" s="53"/>
      <x:c r="J2" s="53"/>
      <x:c r="K2" s="53"/>
      <x:c r="L2" s="53"/>
      <x:c r="M2" s="53"/>
    </x:row>
    <x:row r="4">
      <x:c r="A4" s="50" t="str">
        <x:v>結果は各機能の個別バッチで実測。対象外はDB停止や画面外改ざんなど、通常実行しない講師向け項目です。</x:v>
      </x:c>
      <x:c r="B4" s="50"/>
      <x:c r="C4" s="50"/>
      <x:c r="D4" s="50"/>
      <x:c r="E4" s="50"/>
      <x:c r="F4" s="50"/>
      <x:c r="G4" s="50"/>
      <x:c r="H4" s="50"/>
      <x:c r="I4" s="50"/>
      <x:c r="J4" s="50"/>
      <x:c r="K4" s="50"/>
      <x:c r="L4" s="50"/>
      <x:c r="M4" s="50"/>
    </x:row>
    <x:row r="5">
      <x:c r="A5" s="56" t="str">
        <x:v>機能</x:v>
      </x:c>
      <x:c r="B5" s="56" t="str">
        <x:v>パターン</x:v>
      </x:c>
      <x:c r="C5" s="56" t="str">
        <x:v>ブランチ</x:v>
      </x:c>
      <x:c r="D5" s="56" t="str">
        <x:v>コミット</x:v>
      </x:c>
      <x:c r="E5" s="56" t="str">
        <x:v>全件</x:v>
      </x:c>
      <x:c r="F5" s="56" t="str">
        <x:v>合格</x:v>
      </x:c>
      <x:c r="G5" s="56" t="str">
        <x:v>不合格</x:v>
      </x:c>
      <x:c r="H5" s="56" t="str">
        <x:v>対象外</x:v>
      </x:c>
      <x:c r="I5" s="56" t="str">
        <x:v>不合格率</x:v>
      </x:c>
      <x:c r="J5" s="56" t="str">
        <x:v>ビルド</x:v>
      </x:c>
      <x:c r="K5" s="56" t="str">
        <x:v>不合格テストID</x:v>
      </x:c>
      <x:c r="L5" s="56" t="str">
        <x:v>意図的な実装漏れ</x:v>
      </x:c>
      <x:c r="M5" s="56" t="str">
        <x:v>診断結果</x:v>
      </x:c>
    </x:row>
    <x:row r="6" ht="58" customHeight="1">
      <x:c r="A6" s="58" t="str">
        <x:v>検索</x:v>
      </x:c>
      <x:c r="B6" s="58" t="str">
        <x:v>①</x:v>
      </x:c>
      <x:c r="C6" s="57" t="str">
        <x:v>codex/search-validation-1</x:v>
      </x:c>
      <x:c r="D6" s="58" t="str">
        <x:v>8b36cd2</x:v>
      </x:c>
      <x:c r="E6" s="59" t="n">
        <x:v>29</x:v>
      </x:c>
      <x:c r="F6" s="59" t="n">
        <x:v>14</x:v>
      </x:c>
      <x:c r="G6" s="59" t="n">
        <x:v>14</x:v>
      </x:c>
      <x:c r="H6" s="59" t="n">
        <x:v>1</x:v>
      </x:c>
      <x:c r="I6" s="60" t="n">
        <x:f>G6/E6</x:f>
        <x:v>0.4827586206896552</x:v>
      </x:c>
      <x:c r="J6" s="58" t="str">
        <x:v>成功</x:v>
      </x:c>
      <x:c r="K6" s="61" t="str">
        <x:v>TC002, TC007～TC010, TC013～TC014, TC016～TC020, TC028～TC029</x:v>
      </x:c>
      <x:c r="L6" s="61" t="str">
        <x:v>氏名・部署検索後に結果画面へ遷移しない／部署候補を表示しない／メニューへ戻るリンクを置かない</x:v>
      </x:c>
      <x:c r="M6" s="61" t="str">
        <x:v>該当機能の約半数を不合格として検出</x:v>
      </x:c>
    </x:row>
    <x:row r="7" ht="58" customHeight="1">
      <x:c r="A7" s="58" t="str">
        <x:v>検索</x:v>
      </x:c>
      <x:c r="B7" s="58" t="str">
        <x:v>②</x:v>
      </x:c>
      <x:c r="C7" s="57" t="str">
        <x:v>codex/search-validation-2</x:v>
      </x:c>
      <x:c r="D7" s="58" t="str">
        <x:v>538b2a6</x:v>
      </x:c>
      <x:c r="E7" s="59" t="n">
        <x:v>29</x:v>
      </x:c>
      <x:c r="F7" s="59" t="n">
        <x:v>13</x:v>
      </x:c>
      <x:c r="G7" s="59" t="n">
        <x:v>15</x:v>
      </x:c>
      <x:c r="H7" s="59" t="n">
        <x:v>1</x:v>
      </x:c>
      <x:c r="I7" s="60" t="n">
        <x:f>G7/E7</x:f>
        <x:v>0.5172413793103449</x:v>
      </x:c>
      <x:c r="J7" s="58" t="str">
        <x:v>成功</x:v>
      </x:c>
      <x:c r="K7" s="61" t="str">
        <x:v>TC003～TC004, TC007～TC010, TC013～TC014, TC016～TC018, TC020～TC021, TC023, TC028</x:v>
      </x:c>
      <x:c r="L7" s="61" t="str">
        <x:v>社員番号検索の遷移先を誤る／該当なしを詳細画面へ送る／氏名・部署検索後に結果画面へ遷移しない</x:v>
      </x:c>
      <x:c r="M7" s="61" t="str">
        <x:v>①とは異なる15件を不合格として検出</x:v>
      </x:c>
    </x:row>
    <x:row r="8" ht="58" customHeight="1">
      <x:c r="A8" s="58" t="str">
        <x:v>登録</x:v>
      </x:c>
      <x:c r="B8" s="58" t="str">
        <x:v>①</x:v>
      </x:c>
      <x:c r="C8" s="57" t="str">
        <x:v>codex/registration-validation-1</x:v>
      </x:c>
      <x:c r="D8" s="58" t="str">
        <x:v>80c5b23</x:v>
      </x:c>
      <x:c r="E8" s="59" t="n">
        <x:v>34</x:v>
      </x:c>
      <x:c r="F8" s="59" t="n">
        <x:v>15</x:v>
      </x:c>
      <x:c r="G8" s="59" t="n">
        <x:v>16</x:v>
      </x:c>
      <x:c r="H8" s="59" t="n">
        <x:v>3</x:v>
      </x:c>
      <x:c r="I8" s="60" t="n">
        <x:f>G8/E8</x:f>
        <x:v>0.47058823529411764</x:v>
      </x:c>
      <x:c r="J8" s="58" t="str">
        <x:v>成功</x:v>
      </x:c>
      <x:c r="K8" s="61" t="str">
        <x:v>TC014～TC023, TC025～TC030</x:v>
      </x:c>
      <x:c r="L8" s="61" t="str">
        <x:v>登録確認処理で入力バリデーションを実行し忘れる</x:v>
      </x:c>
      <x:c r="M8" s="61" t="str">
        <x:v>必須・文字数・選択項目など16件を不合格として検出</x:v>
      </x:c>
    </x:row>
    <x:row r="9" ht="58" customHeight="1">
      <x:c r="A9" s="58" t="str">
        <x:v>登録</x:v>
      </x:c>
      <x:c r="B9" s="58" t="str">
        <x:v>②</x:v>
      </x:c>
      <x:c r="C9" s="57" t="str">
        <x:v>codex/registration-validation-2</x:v>
      </x:c>
      <x:c r="D9" s="58" t="str">
        <x:v>964c73a</x:v>
      </x:c>
      <x:c r="E9" s="59" t="n">
        <x:v>34</x:v>
      </x:c>
      <x:c r="F9" s="59" t="n">
        <x:v>14</x:v>
      </x:c>
      <x:c r="G9" s="59" t="n">
        <x:v>17</x:v>
      </x:c>
      <x:c r="H9" s="59" t="n">
        <x:v>3</x:v>
      </x:c>
      <x:c r="I9" s="60" t="n">
        <x:f>G9/E9</x:f>
        <x:v>0.5</x:v>
      </x:c>
      <x:c r="J9" s="58" t="str">
        <x:v>成功</x:v>
      </x:c>
      <x:c r="K9" s="61" t="str">
        <x:v>TC007, TC014～TC023, TC025～TC030</x:v>
      </x:c>
      <x:c r="L9" s="61" t="str">
        <x:v>入力エラー文言を画面に表示しない／確認画面にパスワードを平文表示する</x:v>
      </x:c>
      <x:c r="M9" s="61" t="str">
        <x:v>表示漏れと情報保護漏れの17件を不合格として検出</x:v>
      </x:c>
    </x:row>
    <x:row r="10" ht="58" customHeight="1">
      <x:c r="A10" s="58" t="str">
        <x:v>更新</x:v>
      </x:c>
      <x:c r="B10" s="58" t="str">
        <x:v>①</x:v>
      </x:c>
      <x:c r="C10" s="57" t="str">
        <x:v>codex/update-validation-1</x:v>
      </x:c>
      <x:c r="D10" s="58" t="str">
        <x:v>e3cd77c</x:v>
      </x:c>
      <x:c r="E10" s="59" t="n">
        <x:v>35</x:v>
      </x:c>
      <x:c r="F10" s="59" t="n">
        <x:v>13</x:v>
      </x:c>
      <x:c r="G10" s="59" t="n">
        <x:v>17</x:v>
      </x:c>
      <x:c r="H10" s="59" t="n">
        <x:v>5</x:v>
      </x:c>
      <x:c r="I10" s="60" t="n">
        <x:f>G10/E10</x:f>
        <x:v>0.4857142857142857</x:v>
      </x:c>
      <x:c r="J10" s="58" t="str">
        <x:v>成功</x:v>
      </x:c>
      <x:c r="K10" s="61" t="str">
        <x:v>TC006, TC013～TC022, TC025～TC030</x:v>
      </x:c>
      <x:c r="L10" s="61" t="str">
        <x:v>変更確認処理で入力バリデーションを実行し忘れる／確認画面にパスワードを平文表示する</x:v>
      </x:c>
      <x:c r="M10" s="61" t="str">
        <x:v>入力検証と情報保護の17件を不合格として検出</x:v>
      </x:c>
    </x:row>
    <x:row r="11" ht="58" customHeight="1">
      <x:c r="A11" s="58" t="str">
        <x:v>更新</x:v>
      </x:c>
      <x:c r="B11" s="58" t="str">
        <x:v>②</x:v>
      </x:c>
      <x:c r="C11" s="57" t="str">
        <x:v>codex/update-validation-2</x:v>
      </x:c>
      <x:c r="D11" s="58" t="str">
        <x:v>2b10ed3</x:v>
      </x:c>
      <x:c r="E11" s="59" t="n">
        <x:v>35</x:v>
      </x:c>
      <x:c r="F11" s="59" t="n">
        <x:v>12</x:v>
      </x:c>
      <x:c r="G11" s="59" t="n">
        <x:v>18</x:v>
      </x:c>
      <x:c r="H11" s="59" t="n">
        <x:v>5</x:v>
      </x:c>
      <x:c r="I11" s="60" t="n">
        <x:f>G11/E11</x:f>
        <x:v>0.5142857142857142</x:v>
      </x:c>
      <x:c r="J11" s="58" t="str">
        <x:v>成功</x:v>
      </x:c>
      <x:c r="K11" s="61" t="str">
        <x:v>TC006, TC010, TC013～TC022, TC025～TC030</x:v>
      </x:c>
      <x:c r="L11" s="61" t="str">
        <x:v>入力エラー文言を表示しない／修正時に入力値を元へ戻す／確認画面にパスワードを平文表示する</x:v>
      </x:c>
      <x:c r="M11" s="61" t="str">
        <x:v>異なる実装漏れ18件を不合格として検出</x:v>
      </x:c>
    </x:row>
    <x:row r="12" ht="58" customHeight="1">
      <x:c r="A12" s="58" t="str">
        <x:v>削除</x:v>
      </x:c>
      <x:c r="B12" s="58" t="str">
        <x:v>①</x:v>
      </x:c>
      <x:c r="C12" s="57" t="str">
        <x:v>codex/delete-validation-1</x:v>
      </x:c>
      <x:c r="D12" s="58" t="str">
        <x:v>e9f0b06</x:v>
      </x:c>
      <x:c r="E12" s="59" t="n">
        <x:v>15</x:v>
      </x:c>
      <x:c r="F12" s="59" t="n">
        <x:v>7</x:v>
      </x:c>
      <x:c r="G12" s="59" t="n">
        <x:v>7</x:v>
      </x:c>
      <x:c r="H12" s="59" t="n">
        <x:v>1</x:v>
      </x:c>
      <x:c r="I12" s="60" t="n">
        <x:f>G12/E12</x:f>
        <x:v>0.4666666666666667</x:v>
      </x:c>
      <x:c r="J12" s="58" t="str">
        <x:v>成功</x:v>
      </x:c>
      <x:c r="K12" s="61" t="str">
        <x:v>TC002～TC004, TC006～TC008, TC010</x:v>
      </x:c>
      <x:c r="L12" s="61" t="str">
        <x:v>確認項目と警告文の不足／中止先の誤り／DB削除忘れ／完了画面の戻りリンク漏れ</x:v>
      </x:c>
      <x:c r="M12" s="61" t="str">
        <x:v>7件を不合格として検出</x:v>
      </x:c>
    </x:row>
    <x:row r="13" ht="58" customHeight="1">
      <x:c r="A13" s="58" t="str">
        <x:v>削除</x:v>
      </x:c>
      <x:c r="B13" s="58" t="str">
        <x:v>②</x:v>
      </x:c>
      <x:c r="C13" s="57" t="str">
        <x:v>codex/delete-validation-2</x:v>
      </x:c>
      <x:c r="D13" s="58" t="str">
        <x:v>e20049e</x:v>
      </x:c>
      <x:c r="E13" s="59" t="n">
        <x:v>15</x:v>
      </x:c>
      <x:c r="F13" s="59" t="n">
        <x:v>6</x:v>
      </x:c>
      <x:c r="G13" s="59" t="n">
        <x:v>8</x:v>
      </x:c>
      <x:c r="H13" s="59" t="n">
        <x:v>1</x:v>
      </x:c>
      <x:c r="I13" s="60" t="n">
        <x:f>G13/E13</x:f>
        <x:v>0.5333333333333333</x:v>
      </x:c>
      <x:c r="J13" s="58" t="str">
        <x:v>成功</x:v>
      </x:c>
      <x:c r="K13" s="61" t="str">
        <x:v>TC002, TC004～TC006, TC010, TC012～TC013, TC015</x:v>
      </x:c>
      <x:c r="L13" s="61" t="str">
        <x:v>確認項目不足／中止先の誤り／DB削除忘れ／不正POST処理漏れ／完了文言の誤り</x:v>
      </x:c>
      <x:c r="M13" s="61" t="str">
        <x:v>①とは異なる8件を不合格として検出</x:v>
      </x:c>
    </x:row>
  </x:sheetData>
  <x:mergeCells>
    <x:mergeCell ref="A1:M1"/>
    <x:mergeCell ref="A2:M2"/>
    <x:mergeCell ref="A4:M4"/>
  </x:mergeCells>
  <x:conditionalFormatting sqref="I6:I13">
    <x:cfRule type="cellIs" dxfId="1" priority="1" operator="greaterThanOrEqual">
      <x:formula>0.5</x:formula>
    </x:cfRule>
  </x:conditionalFormatting>
  <x:conditionalFormatting sqref="J6:J13">
    <x:cfRule type="containsText" dxfId="2" priority="2" operator="containsText" text="成功"/>
  </x:conditionalFormatting>
  <x:pageMargins left="0.7" right="0.7" top="0.75" bottom="0.75" header="0.3" footer="0.3"/>
  <x:tableParts count="1">
    <x:tablePart xmlns:r="http://schemas.openxmlformats.org/officeDocument/2006/relationships" r:id="Ra9d0f11ee2c54a06"/>
  </x:tableParts>
</x:worksheet>
</file>